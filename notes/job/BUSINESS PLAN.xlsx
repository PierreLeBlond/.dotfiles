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venu- besoins " sheetId="1" state="visible" r:id="rId3"/>
    <sheet name="Prospection " sheetId="2" state="visible" r:id="rId4"/>
    <sheet name="Le produit " sheetId="3" state="visible" r:id="rId5"/>
    <sheet name="FFOM " sheetId="4" state="visible" r:id="rId6"/>
    <sheet name="liens util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<sst xmlns="http://schemas.openxmlformats.org/spreadsheetml/2006/main" count="161" uniqueCount="144">
  <si>
    <t xml:space="preserve">Taille de l'omellete au champognon possible : Combien d'œuf combien de champignon? </t>
  </si>
  <si>
    <t xml:space="preserve">Plafond  brut </t>
  </si>
  <si>
    <t xml:space="preserve">Forfait jour </t>
  </si>
  <si>
    <t xml:space="preserve">tarif horaire </t>
  </si>
  <si>
    <t xml:space="preserve">Nd de jour  de travail 
 pour atteindre le plafond </t>
  </si>
  <si>
    <t xml:space="preserve">Nombre de jour
 de travail potentiel </t>
  </si>
  <si>
    <t xml:space="preserve">Plafond hors taxe </t>
  </si>
  <si>
    <t xml:space="preserve">Revenu net annuel</t>
  </si>
  <si>
    <t xml:space="preserve">Revenu net mensuel potentiel </t>
  </si>
  <si>
    <t xml:space="preserve">Il faudrait donc 260 j de travail à 300 € , pour atteindre l'objectif  du plafond </t>
  </si>
  <si>
    <t xml:space="preserve">Ceci laisse du temps pour batir une stratégie et une action commerciale</t>
  </si>
  <si>
    <t xml:space="preserve">Questions </t>
  </si>
  <si>
    <t xml:space="preserve">1- Combien de temps faut il pour réaliser un projet de type NICE </t>
  </si>
  <si>
    <t xml:space="preserve">~40 jours</t>
  </si>
  <si>
    <t xml:space="preserve">2- Combien de temps pour créer un site web standard </t>
  </si>
  <si>
    <t xml:space="preserve">2 à 3 jours</t>
  </si>
  <si>
    <t xml:space="preserve">Allons à la chasse aux œufs : protéines </t>
  </si>
  <si>
    <t xml:space="preserve">Allons ceuillir des champignons pour agrémenter l'omelette </t>
  </si>
  <si>
    <t xml:space="preserve">Identifier les clients potentiels,  son marché (sa Forêt) .</t>
  </si>
  <si>
    <t xml:space="preserve">1.Catégories  du secteur d'activité ( ingienrie informatique) </t>
  </si>
  <si>
    <t xml:space="preserve">Code NAF d'acivité </t>
  </si>
  <si>
    <t xml:space="preserve">6201Z PROGRAMMATION INFORMATIQUE</t>
  </si>
  <si>
    <t xml:space="preserve">2. Caractéristiques du secteur :</t>
  </si>
  <si>
    <t xml:space="preserve">Les propsects </t>
  </si>
  <si>
    <t xml:space="preserve">Localisation geographique </t>
  </si>
  <si>
    <t xml:space="preserve">N°de telephone /mail / site web </t>
  </si>
  <si>
    <t xml:space="preserve">L'activité </t>
  </si>
  <si>
    <t xml:space="preserve">l'interlocuteur clés </t>
  </si>
  <si>
    <t xml:space="preserve">decideur </t>
  </si>
  <si>
    <t xml:space="preserve">Besoins </t>
  </si>
  <si>
    <t xml:space="preserve">Délais </t>
  </si>
  <si>
    <t xml:space="preserve">Next step </t>
  </si>
  <si>
    <t xml:space="preserve">Industrie </t>
  </si>
  <si>
    <t xml:space="preserve">Artisan </t>
  </si>
  <si>
    <t xml:space="preserve">Commerçant </t>
  </si>
  <si>
    <t xml:space="preserve">Service publique </t>
  </si>
  <si>
    <t xml:space="preserve">Les fournisseurs d'image d'outil etc.. </t>
  </si>
  <si>
    <t xml:space="preserve">N°de telephone </t>
  </si>
  <si>
    <t xml:space="preserve">Photographe </t>
  </si>
  <si>
    <t xml:space="preserve">Droniste</t>
  </si>
  <si>
    <t xml:space="preserve">Vendeur  de logiciel </t>
  </si>
  <si>
    <t xml:space="preserve">Les concurrents </t>
  </si>
  <si>
    <t xml:space="preserve">3. Tendances </t>
  </si>
  <si>
    <t xml:space="preserve">besoins des clients identifiables </t>
  </si>
  <si>
    <t xml:space="preserve">Science de l'image et ingienerie informatique  </t>
  </si>
  <si>
    <t xml:space="preserve">Création de site web marchand , communiquant , publicitaire etc …</t>
  </si>
  <si>
    <t xml:space="preserve">Creation et developpement de visionneuse 3D </t>
  </si>
  <si>
    <t xml:space="preserve">Animation d'image </t>
  </si>
  <si>
    <t xml:space="preserve">Creation d'espace virtuel et ludique </t>
  </si>
  <si>
    <t xml:space="preserve">A quoi ca sert  ?</t>
  </si>
  <si>
    <t xml:space="preserve">Communiquer de maniére  rapide précise et ludique et esthetique </t>
  </si>
  <si>
    <t xml:space="preserve">Mettre en valeur un site marchand un produit un concept </t>
  </si>
  <si>
    <t xml:space="preserve">Comment  fait on </t>
  </si>
  <si>
    <t xml:space="preserve">Banque d'image </t>
  </si>
  <si>
    <t xml:space="preserve">Developper à partir d'un outil lequel ? </t>
  </si>
  <si>
    <t xml:space="preserve">Savoir faire du developpeur (ingienerie  imagerie 3D )</t>
  </si>
  <si>
    <t xml:space="preserve">Question .</t>
  </si>
  <si>
    <t xml:space="preserve">1- Est-ce que l'on peut proposer un produit standard clés en main evolutif  ?</t>
  </si>
  <si>
    <t xml:space="preserve">Pour un site</t>
  </si>
  <si>
    <t xml:space="preserve">Pour une visionneuse</t>
  </si>
  <si>
    <t xml:space="preserve">Avec un tarif de base </t>
  </si>
  <si>
    <t xml:space="preserve">Site vitrine, formulaire de contact, avis google → 600e</t>
  </si>
  <si>
    <t xml:space="preserve">Pas assez de cas concrets pour définir une métrique</t>
  </si>
  <si>
    <t xml:space="preserve">Des options ? </t>
  </si>
  <si>
    <t xml:space="preserve">Identité visuelle, logo → +300</t>
  </si>
  <si>
    <t xml:space="preserve">x€ pour une page en plus </t>
  </si>
  <si>
    <t xml:space="preserve">x€  pour une mise à jour </t>
  </si>
  <si>
    <t xml:space="preserve">Si ponctuelle, comprise dans le tarif de base</t>
  </si>
  <si>
    <t xml:space="preserve">2- Qu'est ce qui peut te différencier des autres intervenants </t>
  </si>
  <si>
    <t xml:space="preserve">Jeunesse</t>
  </si>
  <si>
    <t xml:space="preserve">Pas vraiment, dans la moyenne d’âge des freelance ? Combine maturité par rapport à plus jeune, et ouverture d’esprit par rapport à plus vieux ?</t>
  </si>
  <si>
    <t xml:space="preserve">Compétences spécifiques </t>
  </si>
  <si>
    <t xml:space="preserve">Intégration de visionneuse 3D</t>
  </si>
  <si>
    <t xml:space="preserve">Valeurs ethiques </t>
  </si>
  <si>
    <t xml:space="preserve">Ecologie, humain, privilégie les petites entreprises et la collaboration dans la confiance</t>
  </si>
  <si>
    <t xml:space="preserve">Maitrise spécifiques </t>
  </si>
  <si>
    <t xml:space="preserve">Connaissance plus approfondie des outils du web et de la 3D</t>
  </si>
  <si>
    <r>
      <rPr>
        <sz val="11"/>
        <color rgb="FF2F2F2F"/>
        <rFont val="Symbol"/>
        <family val="1"/>
        <charset val="2"/>
      </rPr>
      <t xml:space="preserve">·</t>
    </r>
    <r>
      <rPr>
        <sz val="7"/>
        <color rgb="FF2F2F2F"/>
        <rFont val="Times New Roman"/>
        <family val="1"/>
        <charset val="1"/>
      </rPr>
      <t xml:space="preserve">         </t>
    </r>
    <r>
      <rPr>
        <b val="true"/>
        <sz val="11"/>
        <color rgb="FFD83B01"/>
        <rFont val="Calibri"/>
        <family val="2"/>
        <charset val="1"/>
      </rPr>
      <t xml:space="preserve">Forces : </t>
    </r>
    <r>
      <rPr>
        <sz val="11"/>
        <color rgb="FF2F2F2F"/>
        <rFont val="Calibri"/>
        <family val="2"/>
        <charset val="1"/>
      </rPr>
      <t xml:space="preserve">Quels sont les points forts de votre entreprise lors de son lancement ? Comment voyez-vous ceci évoluer ?</t>
    </r>
  </si>
  <si>
    <r>
      <rPr>
        <sz val="11"/>
        <color rgb="FF2F2F2F"/>
        <rFont val="Symbol"/>
        <family val="1"/>
        <charset val="2"/>
      </rPr>
      <t xml:space="preserve">·</t>
    </r>
    <r>
      <rPr>
        <sz val="7"/>
        <color rgb="FF2F2F2F"/>
        <rFont val="Times New Roman"/>
        <family val="1"/>
        <charset val="1"/>
      </rPr>
      <t xml:space="preserve">         </t>
    </r>
    <r>
      <rPr>
        <b val="true"/>
        <sz val="11"/>
        <color rgb="FFD83B01"/>
        <rFont val="Calibri"/>
        <family val="2"/>
        <charset val="1"/>
      </rPr>
      <t xml:space="preserve">Faiblesses : </t>
    </r>
    <r>
      <rPr>
        <sz val="11"/>
        <color rgb="FF2F2F2F"/>
        <rFont val="Calibri"/>
        <family val="2"/>
        <charset val="1"/>
      </rPr>
      <t xml:space="preserve">Si vous étiez la concurrence, que diriez-vous à vos clients potentiels sur les faiblesses
 ou déficiences des produits ou services qu’offre votre entreprise ? Quelles sont les principales faiblesses à surmonter en premier lieu ?</t>
    </r>
  </si>
  <si>
    <t xml:space="preserve">FORCES </t>
  </si>
  <si>
    <t xml:space="preserve">FAIBLESSES </t>
  </si>
  <si>
    <t xml:space="preserve">Avantages </t>
  </si>
  <si>
    <t xml:space="preserve">Flexibilité horaire, pas de contraintes de localisation</t>
  </si>
  <si>
    <t xml:space="preserve">désavantages </t>
  </si>
  <si>
    <t xml:space="preserve">Un seul développeur, tout repose sur une seule personne, que se passe-t-il en cas d’abandon du projet ?</t>
  </si>
  <si>
    <t xml:space="preserve">Capacités, technique s, perso  </t>
  </si>
  <si>
    <t xml:space="preserve">Spécialisation 3D, intégration</t>
  </si>
  <si>
    <t xml:space="preserve">Lacunes , technique perso etc </t>
  </si>
  <si>
    <t xml:space="preserve">Pas expert dans tous les domaines nécessaires =&gt; étoffer le réseau de partenaires</t>
  </si>
  <si>
    <t xml:space="preserve">Biens ,personnes </t>
  </si>
  <si>
    <t xml:space="preserve">Interlocuteur honnête et à l’écoute</t>
  </si>
  <si>
    <t xml:space="preserve">Flux de tresorerie </t>
  </si>
  <si>
    <t xml:space="preserve">Trésorerie innexistante actuellement</t>
  </si>
  <si>
    <t xml:space="preserve">Expérience potentielle</t>
  </si>
  <si>
    <t xml:space="preserve">Gestion de projet</t>
  </si>
  <si>
    <t xml:space="preserve">Expérience</t>
  </si>
  <si>
    <t xml:space="preserve">Expérience en entreprise, puis première expérience significative sur un projet freelance réussie</t>
  </si>
  <si>
    <t xml:space="preserve">Fournisseurs </t>
  </si>
  <si>
    <t xml:space="preserve">/</t>
  </si>
  <si>
    <t xml:space="preserve">Reserves financiéres </t>
  </si>
  <si>
    <t xml:space="preserve">Pas besoin de reserves financières pour fonctionner</t>
  </si>
  <si>
    <t xml:space="preserve">Experiences </t>
  </si>
  <si>
    <t xml:space="preserve">Pas assez de projets réalisés pour faire valoir et faire confiance</t>
  </si>
  <si>
    <t xml:space="preserve">proposition de valeurs</t>
  </si>
  <si>
    <t xml:space="preserve">Artisanat du code, client propriétaire du code, utilisation maitrisé de l’IA, sur mesure, optimisation d’outils existant</t>
  </si>
  <si>
    <t xml:space="preserve">Domaines à améliorer </t>
  </si>
  <si>
    <t xml:space="preserve">Design, marketing, tarifications</t>
  </si>
  <si>
    <t xml:space="preserve">prix valeur quantité </t>
  </si>
  <si>
    <t xml:space="preserve">Prix attractifs, facilité d’avoir un freelance plutôt qu’un salarié</t>
  </si>
  <si>
    <t xml:space="preserve">Causes de pertes de ventes </t>
  </si>
  <si>
    <t xml:space="preserve">Pas assez pro ? Manque d’expérience à faire valoir. Manque de confiance en soi.</t>
  </si>
  <si>
    <r>
      <rPr>
        <sz val="11"/>
        <color rgb="FF2F2F2F"/>
        <rFont val="Symbol"/>
        <family val="1"/>
        <charset val="2"/>
      </rPr>
      <t xml:space="preserve">·</t>
    </r>
    <r>
      <rPr>
        <sz val="7"/>
        <color rgb="FF2F2F2F"/>
        <rFont val="Times New Roman"/>
        <family val="1"/>
        <charset val="1"/>
      </rPr>
      <t xml:space="preserve">         </t>
    </r>
    <r>
      <rPr>
        <b val="true"/>
        <sz val="11"/>
        <color rgb="FFD83B01"/>
        <rFont val="Calibri"/>
        <family val="2"/>
        <charset val="1"/>
      </rPr>
      <t xml:space="preserve">Opportunités : </t>
    </r>
    <r>
      <rPr>
        <sz val="11"/>
        <color rgb="FF2F2F2F"/>
        <rFont val="Calibri"/>
        <family val="2"/>
        <charset val="1"/>
      </rPr>
      <t xml:space="preserve">Avec des améliorations de produit ou de nouveaux partenariats, 
comment évoluerait votre entreprise ? Quels sont les nouveaux segments que vous pouvez conquérir à l’avenir ?</t>
    </r>
  </si>
  <si>
    <r>
      <rPr>
        <sz val="11"/>
        <color rgb="FF2F2F2F"/>
        <rFont val="Symbol"/>
        <family val="1"/>
        <charset val="2"/>
      </rPr>
      <t xml:space="preserve">·</t>
    </r>
    <r>
      <rPr>
        <sz val="7"/>
        <color rgb="FF2F2F2F"/>
        <rFont val="Times New Roman"/>
        <family val="1"/>
        <charset val="1"/>
      </rPr>
      <t xml:space="preserve">         </t>
    </r>
    <r>
      <rPr>
        <b val="true"/>
        <sz val="11"/>
        <color rgb="FFD83B01"/>
        <rFont val="Calibri"/>
        <family val="2"/>
        <charset val="1"/>
      </rPr>
      <t xml:space="preserve">Menaces : </t>
    </r>
    <r>
      <rPr>
        <sz val="11"/>
        <color rgb="FF2F2F2F"/>
        <rFont val="Calibri"/>
        <family val="2"/>
        <charset val="1"/>
      </rPr>
      <t xml:space="preserve">Quels facteurs externes pourraient compromettre la croissance de votre entreprise 
ou de votre trésorerie ? Laquelle de ces menaces pouvez-vous contrôler ? Lesquelles ne pouvez-vous pas contrôler ?</t>
    </r>
  </si>
  <si>
    <t xml:space="preserve">OPPORTUNITES </t>
  </si>
  <si>
    <t xml:space="preserve">MENACES </t>
  </si>
  <si>
    <t xml:space="preserve">Visualisation de maquettes, site web standard + visuels personnalisés</t>
  </si>
  <si>
    <t xml:space="preserve">Mouvements de l'économies </t>
  </si>
  <si>
    <t xml:space="preserve">Crise des développeurs, marché satturé, diminution globale de l’investissement</t>
  </si>
  <si>
    <t xml:space="preserve">Nouveaux segments </t>
  </si>
  <si>
    <t xml:space="preserve">Visualisation/configuration de produits E-commerce, Site e-commerce</t>
  </si>
  <si>
    <t xml:space="preserve">Obstacles  possibles </t>
  </si>
  <si>
    <t xml:space="preserve">Technologie gadget, automatisation par l’IA</t>
  </si>
  <si>
    <t xml:space="preserve">Faiblesses des concurrents </t>
  </si>
  <si>
    <t xml:space="preserve">Faible qualité de rendus, utilisation superficielle des outils existants, utilisation innadapté de l’IA</t>
  </si>
  <si>
    <t xml:space="preserve">Actiosnconcurrentes </t>
  </si>
  <si>
    <t xml:space="preserve">Beaucoup de devs web sur le marché, et de solutions automatisées clès en mains. IA.</t>
  </si>
  <si>
    <t xml:space="preserve">tendances industrielles </t>
  </si>
  <si>
    <t xml:space="preserve">Effets envoronnementtaux </t>
  </si>
  <si>
    <t xml:space="preserve">Faibles (relativement)</t>
  </si>
  <si>
    <t xml:space="preserve">Nouveaux produits </t>
  </si>
  <si>
    <t xml:space="preserve">Perte de contacts clés </t>
  </si>
  <si>
    <t xml:space="preserve">Nouvelles innovations </t>
  </si>
  <si>
    <t xml:space="preserve">Appareils de plus en plus puissants, nouvelles technologies (Gaussian splatting, etc), IA</t>
  </si>
  <si>
    <t xml:space="preserve">Concurrence des solutions IA, moins chères, et aptes à réaliser plus rapidement et au moins aussi bien des projets basiques. Retard de connaissances sur les dernières avancées en matière de rendu.</t>
  </si>
  <si>
    <t xml:space="preserve">Partenariats clés </t>
  </si>
  <si>
    <t xml:space="preserve">Web designer, graphistes 3D, hebergeurs (nottament pour les modèles 3D) =&gt; CLI</t>
  </si>
  <si>
    <t xml:space="preserve">demande du marché </t>
  </si>
  <si>
    <t xml:space="preserve">La visualisation 3D est une plus-value, mais pas une nécessité pour la réussite d’un business. Un site internet, oui.</t>
  </si>
  <si>
    <t xml:space="preserve">CCI Alsace support propsection / formation /technique gestion d'entreprise /aide financiére </t>
  </si>
  <si>
    <t xml:space="preserve">https://www.alsace-eurometropole.cci.fr/produit/accompagnement-post-creation</t>
  </si>
  <si>
    <t xml:space="preserve">Adie </t>
  </si>
  <si>
    <t xml:space="preserve">https://www.adie.org/</t>
  </si>
  <si>
    <t xml:space="preserve">pierrelespingal.com</t>
  </si>
  <si>
    <t xml:space="preserve">pierre.lespingal@proton.me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</si>
</sst>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&quot; €&quot;_-;\-* #,##0.00&quot; €&quot;_-;_-* \-??&quot; €&quot;_-;_-@_-"/>
    <numFmt numFmtId="166" formatCode="_-* #,##0&quot; €&quot;_-;\-* #,##0&quot; €&quot;_-;_-* \-??&quot; €&quot;_-;_-@_-"/>
    <numFmt numFmtId="167" formatCode="_-* #,##0.00_-;\-* #,##0.00_-;_-* \-??_-;_-@_-"/>
    <numFmt numFmtId="168" formatCode="_-* #,##0_-;\-* #,##0_-;_-* \-??_-;_-@_-"/>
  </numFmts>
  <fonts count="13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8" tint="-0.25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b val="true"/>
      <sz val="14"/>
      <color theme="8" tint="-0.25"/>
      <name val="Aptos Narrow"/>
      <family val="2"/>
      <charset val="1"/>
    </font>
    <font>
      <b val="true"/>
      <sz val="12"/>
      <color theme="1"/>
      <name val="Aptos Narrow"/>
      <family val="2"/>
      <charset val="1"/>
    </font>
    <font>
      <sz val="11"/>
      <color rgb="FF2F2F2F"/>
      <name val="Symbol"/>
      <family val="1"/>
      <charset val="2"/>
    </font>
    <font>
      <sz val="7"/>
      <color rgb="FF2F2F2F"/>
      <name val="Times New Roman"/>
      <family val="1"/>
      <charset val="1"/>
    </font>
    <font>
      <b val="true"/>
      <sz val="11"/>
      <color rgb="FFD83B01"/>
      <name val="Calibri"/>
      <family val="2"/>
      <charset val="1"/>
    </font>
    <font>
      <sz val="11"/>
      <color rgb="FF2F2F2F"/>
      <name val="Calibri"/>
      <family val="2"/>
      <charset val="1"/>
    </font>
    <font>
      <u val="single"/>
      <sz val="11"/>
      <color theme="10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3" tint="0.7499"/>
        <bgColor rgb="FF83CBEB"/>
      </patternFill>
    </fill>
    <fill>
      <patternFill patternType="solid">
        <fgColor theme="4" tint="0.5999"/>
        <bgColor rgb="FFA6CAEC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5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6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6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83CBEB"/>
      <rgbColor rgb="FF808080"/>
      <rgbColor rgb="FF9999FF"/>
      <rgbColor rgb="FF78206E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6CAEC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D83B01"/>
      <rgbColor rgb="FF993366"/>
      <rgbColor rgb="FF333399"/>
      <rgbColor rgb="FF2F2F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alsace-eurometropole.cci.fr/produit/accompagnement-post-creation" TargetMode="External"/><Relationship Id="rId2" Type="http://schemas.openxmlformats.org/officeDocument/2006/relationships/hyperlink" Target="https://www.adie.org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E21"/>
  <sheetViews>
    <sheetView showFormulas="false" showGridLines="tru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B20" activeCellId="0" sqref="B20"/>
    </sheetView>
  </sheetViews>
  <sheetFormatPr defaultColWidth="10.59765625" defaultRowHeight="15" customHeight="false" zeroHeight="false" outlineLevelRow="0" outlineLevelCol="0"/>
  <cols>
    <col collapsed="false" customWidth="true" hidden="false" outlineLevel="0" max="1" min="1" style="1" width="65.93"/>
    <col collapsed="false" customWidth="true" hidden="false" outlineLevel="0" max="2" min="2" style="1" width="24.57"/>
    <col collapsed="false" customWidth="true" hidden="false" outlineLevel="0" max="4" min="4" style="1" width="11.86"/>
  </cols>
  <sheetData>
    <row r="3" customFormat="false" ht="15" hidden="false" customHeight="false" outlineLevel="0" collapsed="false">
      <c r="A3" s="2" t="s">
        <v>0</v>
      </c>
    </row>
    <row r="9" customFormat="false" ht="75.75" hidden="false" customHeight="false" outlineLevel="0" collapsed="false">
      <c r="A9" s="3" t="s">
        <v>1</v>
      </c>
      <c r="B9" s="4" t="s">
        <v>2</v>
      </c>
      <c r="C9" s="4" t="s">
        <v>3</v>
      </c>
      <c r="D9" s="5" t="s">
        <v>4</v>
      </c>
      <c r="E9" s="6" t="s">
        <v>5</v>
      </c>
    </row>
    <row r="10" customFormat="false" ht="15" hidden="false" customHeight="false" outlineLevel="0" collapsed="false">
      <c r="A10" s="7" t="n">
        <v>77700</v>
      </c>
      <c r="B10" s="8" t="n">
        <v>300</v>
      </c>
      <c r="C10" s="9" t="n">
        <f aca="false">B10/8</f>
        <v>37.5</v>
      </c>
      <c r="D10" s="10" t="n">
        <f aca="false">77700/300</f>
        <v>259</v>
      </c>
      <c r="E10" s="11" t="n">
        <v>300</v>
      </c>
    </row>
    <row r="11" customFormat="false" ht="15" hidden="false" customHeight="false" outlineLevel="0" collapsed="false">
      <c r="B11" s="1" t="s">
        <v>6</v>
      </c>
    </row>
    <row r="12" customFormat="false" ht="15" hidden="false" customHeight="false" outlineLevel="0" collapsed="false">
      <c r="A12" s="1" t="s">
        <v>7</v>
      </c>
      <c r="B12" s="12" t="n">
        <f aca="false">A10*0.74</f>
        <v>57498</v>
      </c>
      <c r="D12" s="1" t="n">
        <f aca="false">B12/E10</f>
        <v>191.66</v>
      </c>
    </row>
    <row r="13" customFormat="false" ht="15" hidden="false" customHeight="false" outlineLevel="0" collapsed="false">
      <c r="A13" s="1" t="s">
        <v>8</v>
      </c>
      <c r="B13" s="13" t="n">
        <f aca="false">B12/12</f>
        <v>4791.5</v>
      </c>
    </row>
    <row r="15" customFormat="false" ht="15" hidden="false" customHeight="false" outlineLevel="0" collapsed="false">
      <c r="A15" s="1" t="s">
        <v>9</v>
      </c>
    </row>
    <row r="16" customFormat="false" ht="15" hidden="false" customHeight="false" outlineLevel="0" collapsed="false">
      <c r="A16" s="1" t="s">
        <v>10</v>
      </c>
    </row>
    <row r="19" customFormat="false" ht="15" hidden="false" customHeight="false" outlineLevel="0" collapsed="false">
      <c r="A19" s="14" t="s">
        <v>11</v>
      </c>
    </row>
    <row r="20" customFormat="false" ht="15" hidden="false" customHeight="false" outlineLevel="0" collapsed="false">
      <c r="A20" s="1" t="s">
        <v>12</v>
      </c>
      <c r="B20" s="1" t="s">
        <v>13</v>
      </c>
    </row>
    <row r="21" customFormat="false" ht="15" hidden="false" customHeight="false" outlineLevel="0" collapsed="false">
      <c r="A21" s="1" t="s">
        <v>14</v>
      </c>
      <c r="B21" s="1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37"/>
  <sheetViews>
    <sheetView showFormulas="false" showGridLines="true" showRowColHeaders="true" showZeros="true" rightToLeft="false" tabSelected="true" showOutlineSymbols="true" defaultGridColor="true" view="normal" topLeftCell="A6" colorId="64" zoomScale="100" zoomScaleNormal="100" zoomScalePageLayoutView="100" workbookViewId="0">
      <selection pane="topLeft" activeCell="D11" activeCellId="0" sqref="D11"/>
    </sheetView>
  </sheetViews>
  <sheetFormatPr defaultColWidth="10.59765625" defaultRowHeight="15" customHeight="false" zeroHeight="false" outlineLevelRow="0" outlineLevelCol="0"/>
  <cols>
    <col collapsed="false" customWidth="true" hidden="false" outlineLevel="0" max="1" min="1" style="1" width="63.86"/>
    <col collapsed="false" customWidth="true" hidden="false" outlineLevel="0" max="2" min="2" style="1" width="45"/>
    <col collapsed="false" customWidth="true" hidden="false" outlineLevel="0" max="3" min="3" style="1" width="32.43"/>
    <col collapsed="false" customWidth="true" hidden="false" outlineLevel="0" max="4" min="4" style="1" width="19.28"/>
    <col collapsed="false" customWidth="true" hidden="false" outlineLevel="0" max="5" min="5" style="1" width="17.86"/>
  </cols>
  <sheetData>
    <row r="2" customFormat="false" ht="15" hidden="false" customHeight="false" outlineLevel="0" collapsed="false">
      <c r="A2" s="2" t="s">
        <v>16</v>
      </c>
      <c r="B2" s="2"/>
      <c r="C2" s="2"/>
      <c r="D2" s="2"/>
      <c r="E2" s="2"/>
    </row>
    <row r="3" customFormat="false" ht="15" hidden="false" customHeight="false" outlineLevel="0" collapsed="false">
      <c r="A3" s="2" t="s">
        <v>17</v>
      </c>
      <c r="B3" s="2"/>
      <c r="C3" s="2"/>
      <c r="D3" s="2"/>
      <c r="E3" s="2"/>
    </row>
    <row r="6" customFormat="false" ht="17.35" hidden="false" customHeight="false" outlineLevel="0" collapsed="false">
      <c r="A6" s="15" t="s">
        <v>18</v>
      </c>
      <c r="B6" s="15"/>
      <c r="C6" s="15"/>
    </row>
    <row r="10" customFormat="false" ht="15" hidden="false" customHeight="false" outlineLevel="0" collapsed="false">
      <c r="A10" s="14" t="s">
        <v>19</v>
      </c>
      <c r="B10" s="14"/>
      <c r="C10" s="14"/>
    </row>
    <row r="11" customFormat="false" ht="16.4" hidden="false" customHeight="false" outlineLevel="0" collapsed="false">
      <c r="A11" s="1" t="s">
        <v>20</v>
      </c>
      <c r="B11" s="16" t="s">
        <v>21</v>
      </c>
    </row>
    <row r="12" customFormat="false" ht="15" hidden="false" customHeight="false" outlineLevel="0" collapsed="false">
      <c r="A12" s="14" t="s">
        <v>22</v>
      </c>
      <c r="B12" s="14"/>
      <c r="C12" s="14"/>
    </row>
    <row r="13" customFormat="false" ht="15" hidden="false" customHeight="false" outlineLevel="0" collapsed="false">
      <c r="A13" s="17" t="s">
        <v>23</v>
      </c>
      <c r="B13" s="17" t="s">
        <v>24</v>
      </c>
      <c r="C13" s="17" t="s">
        <v>25</v>
      </c>
      <c r="D13" s="17" t="s">
        <v>26</v>
      </c>
      <c r="E13" s="17" t="s">
        <v>27</v>
      </c>
      <c r="F13" s="17" t="s">
        <v>28</v>
      </c>
      <c r="G13" s="17" t="s">
        <v>29</v>
      </c>
      <c r="H13" s="17" t="s">
        <v>30</v>
      </c>
      <c r="I13" s="17" t="s">
        <v>31</v>
      </c>
    </row>
    <row r="14" customFormat="false" ht="15" hidden="false" customHeight="false" outlineLevel="0" collapsed="false">
      <c r="A14" s="18"/>
      <c r="B14" s="18"/>
      <c r="C14" s="18"/>
      <c r="D14" s="18" t="s">
        <v>32</v>
      </c>
      <c r="E14" s="18"/>
      <c r="F14" s="18"/>
      <c r="G14" s="18"/>
      <c r="H14" s="18"/>
      <c r="I14" s="18"/>
    </row>
    <row r="15" customFormat="false" ht="15" hidden="false" customHeight="false" outlineLevel="0" collapsed="false">
      <c r="A15" s="18"/>
      <c r="B15" s="18"/>
      <c r="C15" s="18"/>
      <c r="D15" s="18" t="s">
        <v>33</v>
      </c>
      <c r="E15" s="18"/>
      <c r="F15" s="18"/>
      <c r="G15" s="18"/>
      <c r="H15" s="18"/>
      <c r="I15" s="18"/>
    </row>
    <row r="16" customFormat="false" ht="15" hidden="false" customHeight="false" outlineLevel="0" collapsed="false">
      <c r="A16" s="18"/>
      <c r="B16" s="18"/>
      <c r="C16" s="18"/>
      <c r="D16" s="18" t="s">
        <v>34</v>
      </c>
      <c r="E16" s="18"/>
      <c r="F16" s="18"/>
      <c r="G16" s="18"/>
      <c r="H16" s="18"/>
      <c r="I16" s="18"/>
    </row>
    <row r="17" customFormat="false" ht="15" hidden="false" customHeight="false" outlineLevel="0" collapsed="false">
      <c r="A17" s="18"/>
      <c r="B17" s="18"/>
      <c r="C17" s="18"/>
      <c r="D17" s="18" t="s">
        <v>35</v>
      </c>
      <c r="E17" s="18"/>
      <c r="F17" s="18"/>
      <c r="G17" s="18"/>
      <c r="H17" s="18"/>
      <c r="I17" s="18"/>
    </row>
    <row r="19" customFormat="false" ht="15" hidden="false" customHeight="false" outlineLevel="0" collapsed="false">
      <c r="A19" s="17" t="s">
        <v>36</v>
      </c>
      <c r="B19" s="17" t="s">
        <v>24</v>
      </c>
      <c r="C19" s="17" t="s">
        <v>37</v>
      </c>
      <c r="D19" s="17" t="s">
        <v>26</v>
      </c>
      <c r="E19" s="17" t="s">
        <v>27</v>
      </c>
      <c r="F19" s="17" t="s">
        <v>28</v>
      </c>
      <c r="G19" s="17" t="s">
        <v>29</v>
      </c>
      <c r="H19" s="17" t="s">
        <v>30</v>
      </c>
      <c r="I19" s="17" t="s">
        <v>31</v>
      </c>
    </row>
    <row r="20" customFormat="false" ht="15" hidden="false" customHeight="false" outlineLevel="0" collapsed="false">
      <c r="A20" s="19"/>
      <c r="B20" s="19"/>
      <c r="C20" s="19"/>
      <c r="D20" s="19" t="s">
        <v>38</v>
      </c>
      <c r="E20" s="19"/>
      <c r="F20" s="18"/>
      <c r="G20" s="18"/>
      <c r="H20" s="18"/>
      <c r="I20" s="18"/>
    </row>
    <row r="21" customFormat="false" ht="15" hidden="false" customHeight="false" outlineLevel="0" collapsed="false">
      <c r="A21" s="19"/>
      <c r="B21" s="19"/>
      <c r="C21" s="19"/>
      <c r="D21" s="19" t="s">
        <v>39</v>
      </c>
      <c r="E21" s="19"/>
      <c r="F21" s="18"/>
      <c r="G21" s="18"/>
      <c r="H21" s="18"/>
      <c r="I21" s="18"/>
    </row>
    <row r="22" customFormat="false" ht="15" hidden="false" customHeight="false" outlineLevel="0" collapsed="false">
      <c r="A22" s="19"/>
      <c r="B22" s="19"/>
      <c r="C22" s="19"/>
      <c r="D22" s="19" t="s">
        <v>40</v>
      </c>
      <c r="E22" s="19"/>
      <c r="F22" s="18"/>
      <c r="G22" s="18"/>
      <c r="H22" s="18"/>
      <c r="I22" s="18"/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8"/>
      <c r="G23" s="18"/>
      <c r="H23" s="18"/>
      <c r="I23" s="18"/>
    </row>
    <row r="24" customFormat="false" ht="15" hidden="false" customHeight="false" outlineLevel="0" collapsed="false">
      <c r="A24" s="14"/>
      <c r="B24" s="14"/>
      <c r="C24" s="14"/>
      <c r="D24" s="14"/>
      <c r="E24" s="14"/>
      <c r="F24" s="14"/>
    </row>
    <row r="25" customFormat="false" ht="15" hidden="false" customHeight="false" outlineLevel="0" collapsed="false">
      <c r="A25" s="17" t="s">
        <v>41</v>
      </c>
      <c r="B25" s="17" t="s">
        <v>24</v>
      </c>
      <c r="C25" s="17" t="s">
        <v>37</v>
      </c>
      <c r="D25" s="17" t="s">
        <v>26</v>
      </c>
      <c r="E25" s="17" t="s">
        <v>27</v>
      </c>
      <c r="F25" s="17" t="s">
        <v>28</v>
      </c>
      <c r="G25" s="17" t="s">
        <v>29</v>
      </c>
      <c r="H25" s="17" t="s">
        <v>30</v>
      </c>
      <c r="I25" s="17" t="s">
        <v>31</v>
      </c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8"/>
      <c r="G26" s="18"/>
      <c r="H26" s="18"/>
      <c r="I26" s="18"/>
    </row>
    <row r="27" customFormat="false" ht="15" hidden="false" customHeight="false" outlineLevel="0" collapsed="false">
      <c r="A27" s="19"/>
      <c r="B27" s="19"/>
      <c r="C27" s="19"/>
      <c r="D27" s="19"/>
      <c r="E27" s="19"/>
      <c r="F27" s="18"/>
      <c r="G27" s="18"/>
      <c r="H27" s="18"/>
      <c r="I27" s="18"/>
    </row>
    <row r="28" customFormat="false" ht="15" hidden="false" customHeight="false" outlineLevel="0" collapsed="false">
      <c r="A28" s="19"/>
      <c r="B28" s="19"/>
      <c r="C28" s="19"/>
      <c r="D28" s="19"/>
      <c r="E28" s="19"/>
      <c r="F28" s="18"/>
      <c r="G28" s="18"/>
      <c r="H28" s="18"/>
      <c r="I28" s="18"/>
    </row>
    <row r="29" customFormat="false" ht="15" hidden="false" customHeight="false" outlineLevel="0" collapsed="false">
      <c r="A29" s="19"/>
      <c r="B29" s="19"/>
      <c r="C29" s="19"/>
      <c r="D29" s="19"/>
      <c r="E29" s="19"/>
      <c r="F29" s="18"/>
      <c r="G29" s="18"/>
      <c r="H29" s="18"/>
      <c r="I29" s="18"/>
    </row>
    <row r="30" customFormat="false" ht="15" hidden="false" customHeight="false" outlineLevel="0" collapsed="false">
      <c r="B30" s="14"/>
      <c r="C30" s="14"/>
    </row>
    <row r="36" customFormat="false" ht="15" hidden="false" customHeight="false" outlineLevel="0" collapsed="false">
      <c r="A36" s="14" t="s">
        <v>42</v>
      </c>
    </row>
    <row r="37" customFormat="false" ht="15" hidden="false" customHeight="false" outlineLevel="0" collapsed="false">
      <c r="A37" s="1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C35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C28" activeCellId="0" sqref="C28"/>
    </sheetView>
  </sheetViews>
  <sheetFormatPr defaultColWidth="10.59765625" defaultRowHeight="15" customHeight="false" zeroHeight="false" outlineLevelRow="0" outlineLevelCol="0"/>
  <cols>
    <col collapsed="false" customWidth="true" hidden="false" outlineLevel="0" max="1" min="1" style="1" width="70.47"/>
    <col collapsed="false" customWidth="true" hidden="false" outlineLevel="0" max="2" min="2" style="1" width="54.29"/>
    <col collapsed="false" customWidth="true" hidden="false" outlineLevel="0" max="3" min="3" style="1" width="36.4"/>
  </cols>
  <sheetData>
    <row r="5" customFormat="false" ht="15" hidden="false" customHeight="false" outlineLevel="0" collapsed="false">
      <c r="A5" s="20" t="s">
        <v>44</v>
      </c>
    </row>
    <row r="6" customFormat="false" ht="15" hidden="false" customHeight="false" outlineLevel="0" collapsed="false">
      <c r="A6" s="1" t="s">
        <v>45</v>
      </c>
    </row>
    <row r="7" customFormat="false" ht="15" hidden="false" customHeight="false" outlineLevel="0" collapsed="false">
      <c r="A7" s="1" t="s">
        <v>46</v>
      </c>
    </row>
    <row r="8" customFormat="false" ht="15" hidden="false" customHeight="false" outlineLevel="0" collapsed="false">
      <c r="A8" s="1" t="s">
        <v>47</v>
      </c>
    </row>
    <row r="9" customFormat="false" ht="15" hidden="false" customHeight="false" outlineLevel="0" collapsed="false">
      <c r="A9" s="1" t="s">
        <v>48</v>
      </c>
    </row>
    <row r="13" customFormat="false" ht="15" hidden="false" customHeight="false" outlineLevel="0" collapsed="false">
      <c r="A13" s="14" t="s">
        <v>49</v>
      </c>
    </row>
    <row r="14" customFormat="false" ht="15" hidden="false" customHeight="false" outlineLevel="0" collapsed="false">
      <c r="A14" s="1" t="s">
        <v>50</v>
      </c>
    </row>
    <row r="15" customFormat="false" ht="15" hidden="false" customHeight="false" outlineLevel="0" collapsed="false">
      <c r="A15" s="1" t="s">
        <v>51</v>
      </c>
    </row>
    <row r="18" customFormat="false" ht="15" hidden="false" customHeight="false" outlineLevel="0" collapsed="false">
      <c r="A18" s="14" t="s">
        <v>52</v>
      </c>
    </row>
    <row r="19" customFormat="false" ht="15" hidden="false" customHeight="false" outlineLevel="0" collapsed="false">
      <c r="A19" s="1" t="s">
        <v>53</v>
      </c>
    </row>
    <row r="20" customFormat="false" ht="15" hidden="false" customHeight="false" outlineLevel="0" collapsed="false">
      <c r="A20" s="1" t="s">
        <v>54</v>
      </c>
    </row>
    <row r="21" customFormat="false" ht="15" hidden="false" customHeight="false" outlineLevel="0" collapsed="false">
      <c r="A21" s="1" t="s">
        <v>55</v>
      </c>
    </row>
    <row r="23" customFormat="false" ht="15" hidden="false" customHeight="false" outlineLevel="0" collapsed="false">
      <c r="A23" s="14" t="s">
        <v>56</v>
      </c>
    </row>
    <row r="24" customFormat="false" ht="15" hidden="false" customHeight="false" outlineLevel="0" collapsed="false">
      <c r="A24" s="14" t="s">
        <v>57</v>
      </c>
      <c r="B24" s="14" t="s">
        <v>58</v>
      </c>
      <c r="C24" s="14" t="s">
        <v>59</v>
      </c>
    </row>
    <row r="25" customFormat="false" ht="31.3" hidden="false" customHeight="false" outlineLevel="0" collapsed="false">
      <c r="A25" s="1" t="s">
        <v>60</v>
      </c>
      <c r="B25" s="1" t="s">
        <v>61</v>
      </c>
      <c r="C25" s="16" t="s">
        <v>62</v>
      </c>
    </row>
    <row r="26" customFormat="false" ht="15" hidden="false" customHeight="false" outlineLevel="0" collapsed="false">
      <c r="A26" s="1" t="s">
        <v>63</v>
      </c>
      <c r="B26" s="1" t="s">
        <v>64</v>
      </c>
    </row>
    <row r="27" customFormat="false" ht="15" hidden="false" customHeight="false" outlineLevel="0" collapsed="false">
      <c r="A27" s="1" t="s">
        <v>65</v>
      </c>
      <c r="B27" s="1" t="n">
        <v>300</v>
      </c>
    </row>
    <row r="28" customFormat="false" ht="15" hidden="false" customHeight="false" outlineLevel="0" collapsed="false">
      <c r="A28" s="1" t="s">
        <v>66</v>
      </c>
      <c r="B28" s="1" t="s">
        <v>67</v>
      </c>
    </row>
    <row r="29" customFormat="false" ht="15" hidden="false" customHeight="false" outlineLevel="0" collapsed="false">
      <c r="A29" s="14" t="s">
        <v>68</v>
      </c>
    </row>
    <row r="30" customFormat="false" ht="46.25" hidden="false" customHeight="false" outlineLevel="0" collapsed="false">
      <c r="A30" s="21" t="s">
        <v>69</v>
      </c>
      <c r="B30" s="16" t="s">
        <v>70</v>
      </c>
    </row>
    <row r="31" customFormat="false" ht="15" hidden="false" customHeight="false" outlineLevel="0" collapsed="false">
      <c r="A31" s="21" t="s">
        <v>71</v>
      </c>
      <c r="B31" s="1" t="s">
        <v>72</v>
      </c>
    </row>
    <row r="32" customFormat="false" ht="31.3" hidden="false" customHeight="false" outlineLevel="0" collapsed="false">
      <c r="A32" s="21" t="s">
        <v>73</v>
      </c>
      <c r="B32" s="16" t="s">
        <v>74</v>
      </c>
    </row>
    <row r="33" customFormat="false" ht="15" hidden="false" customHeight="false" outlineLevel="0" collapsed="false">
      <c r="A33" s="21" t="s">
        <v>75</v>
      </c>
      <c r="B33" s="1" t="s">
        <v>76</v>
      </c>
    </row>
    <row r="34" customFormat="false" ht="15" hidden="false" customHeight="false" outlineLevel="0" collapsed="false">
      <c r="A34" s="14"/>
    </row>
    <row r="35" customFormat="false" ht="15" hidden="false" customHeight="false" outlineLevel="0" collapsed="false">
      <c r="A35" s="1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T22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V18" activeCellId="0" sqref="V18"/>
    </sheetView>
  </sheetViews>
  <sheetFormatPr defaultColWidth="10.59765625" defaultRowHeight="15" customHeight="false" zeroHeight="false" outlineLevelRow="0" outlineLevelCol="0"/>
  <cols>
    <col collapsed="false" customWidth="true" hidden="false" outlineLevel="0" max="1" min="1" style="1" width="44.29"/>
    <col collapsed="false" customWidth="true" hidden="false" outlineLevel="0" max="12" min="12" style="1" width="30.7"/>
  </cols>
  <sheetData>
    <row r="3" customFormat="false" ht="46.25" hidden="false" customHeight="true" outlineLevel="0" collapsed="false">
      <c r="A3" s="22" t="s">
        <v>77</v>
      </c>
      <c r="B3" s="22"/>
      <c r="C3" s="22"/>
      <c r="D3" s="22"/>
      <c r="E3" s="22"/>
      <c r="F3" s="22"/>
      <c r="G3" s="22"/>
      <c r="H3" s="22"/>
      <c r="I3" s="22"/>
      <c r="L3" s="23" t="s">
        <v>78</v>
      </c>
      <c r="M3" s="23"/>
      <c r="N3" s="23"/>
      <c r="O3" s="23"/>
      <c r="P3" s="23"/>
      <c r="Q3" s="23"/>
      <c r="R3" s="23"/>
      <c r="S3" s="23"/>
      <c r="T3" s="23"/>
    </row>
    <row r="4" customFormat="false" ht="15" hidden="false" customHeight="false" outlineLevel="0" collapsed="false">
      <c r="A4" s="24" t="s">
        <v>79</v>
      </c>
      <c r="B4" s="24"/>
      <c r="C4" s="24"/>
      <c r="D4" s="24"/>
      <c r="E4" s="24"/>
      <c r="F4" s="24"/>
      <c r="G4" s="24"/>
      <c r="H4" s="24"/>
      <c r="I4" s="24"/>
      <c r="L4" s="25" t="s">
        <v>80</v>
      </c>
      <c r="M4" s="25"/>
      <c r="N4" s="25"/>
      <c r="O4" s="25"/>
      <c r="P4" s="25"/>
      <c r="Q4" s="25"/>
      <c r="R4" s="25"/>
      <c r="S4" s="25"/>
      <c r="T4" s="25"/>
    </row>
    <row r="5" customFormat="false" ht="30.55" hidden="false" customHeight="true" outlineLevel="0" collapsed="false">
      <c r="A5" s="1" t="s">
        <v>81</v>
      </c>
      <c r="B5" s="26" t="s">
        <v>82</v>
      </c>
      <c r="C5" s="26"/>
      <c r="D5" s="26"/>
      <c r="E5" s="26"/>
      <c r="F5" s="26"/>
      <c r="G5" s="26"/>
      <c r="H5" s="26"/>
      <c r="I5" s="26"/>
      <c r="L5" s="18" t="s">
        <v>83</v>
      </c>
      <c r="M5" s="27" t="s">
        <v>84</v>
      </c>
      <c r="N5" s="27"/>
      <c r="O5" s="27"/>
      <c r="P5" s="27"/>
      <c r="Q5" s="27"/>
      <c r="R5" s="27"/>
      <c r="S5" s="27"/>
      <c r="T5" s="27"/>
    </row>
    <row r="6" customFormat="false" ht="15" hidden="false" customHeight="false" outlineLevel="0" collapsed="false">
      <c r="A6" s="18" t="s">
        <v>85</v>
      </c>
      <c r="B6" s="26" t="s">
        <v>86</v>
      </c>
      <c r="C6" s="26"/>
      <c r="D6" s="26"/>
      <c r="E6" s="26"/>
      <c r="F6" s="26"/>
      <c r="G6" s="26"/>
      <c r="H6" s="26"/>
      <c r="I6" s="26"/>
      <c r="L6" s="18" t="s">
        <v>87</v>
      </c>
      <c r="M6" s="26" t="s">
        <v>88</v>
      </c>
      <c r="N6" s="26"/>
      <c r="O6" s="26"/>
      <c r="P6" s="26"/>
      <c r="Q6" s="26"/>
      <c r="R6" s="26"/>
      <c r="S6" s="26"/>
      <c r="T6" s="26"/>
    </row>
    <row r="7" customFormat="false" ht="15" hidden="false" customHeight="false" outlineLevel="0" collapsed="false">
      <c r="A7" s="1" t="s">
        <v>89</v>
      </c>
      <c r="B7" s="26" t="s">
        <v>90</v>
      </c>
      <c r="C7" s="26"/>
      <c r="D7" s="26"/>
      <c r="E7" s="26"/>
      <c r="F7" s="26"/>
      <c r="G7" s="26"/>
      <c r="H7" s="26"/>
      <c r="I7" s="26"/>
      <c r="L7" s="18" t="s">
        <v>91</v>
      </c>
      <c r="M7" s="26" t="s">
        <v>92</v>
      </c>
      <c r="N7" s="26"/>
      <c r="O7" s="26"/>
      <c r="P7" s="26"/>
      <c r="Q7" s="26"/>
      <c r="R7" s="26"/>
      <c r="S7" s="26"/>
      <c r="T7" s="26"/>
    </row>
    <row r="8" customFormat="false" ht="15" hidden="false" customHeight="false" outlineLevel="0" collapsed="false">
      <c r="A8" s="28" t="s">
        <v>93</v>
      </c>
      <c r="B8" s="26" t="s">
        <v>94</v>
      </c>
      <c r="C8" s="26"/>
      <c r="D8" s="26"/>
      <c r="E8" s="26"/>
      <c r="F8" s="26"/>
      <c r="G8" s="26"/>
      <c r="H8" s="26"/>
      <c r="I8" s="26"/>
      <c r="L8" s="18"/>
      <c r="M8" s="26"/>
      <c r="N8" s="26"/>
      <c r="O8" s="26"/>
      <c r="P8" s="26"/>
      <c r="Q8" s="26"/>
      <c r="R8" s="26"/>
      <c r="S8" s="26"/>
      <c r="T8" s="26"/>
    </row>
    <row r="9" customFormat="false" ht="15" hidden="false" customHeight="false" outlineLevel="0" collapsed="false">
      <c r="A9" s="18" t="s">
        <v>95</v>
      </c>
      <c r="B9" s="26" t="s">
        <v>96</v>
      </c>
      <c r="C9" s="26"/>
      <c r="D9" s="26"/>
      <c r="E9" s="26"/>
      <c r="F9" s="26"/>
      <c r="G9" s="26"/>
      <c r="H9" s="26"/>
      <c r="I9" s="26"/>
      <c r="L9" s="18" t="s">
        <v>97</v>
      </c>
      <c r="M9" s="26" t="s">
        <v>98</v>
      </c>
      <c r="N9" s="26"/>
      <c r="O9" s="26"/>
      <c r="P9" s="26"/>
      <c r="Q9" s="26"/>
      <c r="R9" s="26"/>
      <c r="S9" s="26"/>
      <c r="T9" s="26"/>
    </row>
    <row r="10" customFormat="false" ht="31.3" hidden="false" customHeight="true" outlineLevel="0" collapsed="false">
      <c r="A10" s="18" t="s">
        <v>99</v>
      </c>
      <c r="B10" s="27" t="s">
        <v>100</v>
      </c>
      <c r="C10" s="27"/>
      <c r="D10" s="27"/>
      <c r="E10" s="27"/>
      <c r="F10" s="27"/>
      <c r="G10" s="27"/>
      <c r="H10" s="27"/>
      <c r="I10" s="27"/>
      <c r="L10" s="18" t="s">
        <v>101</v>
      </c>
      <c r="M10" s="26" t="s">
        <v>102</v>
      </c>
      <c r="N10" s="26"/>
      <c r="O10" s="26"/>
      <c r="P10" s="26"/>
      <c r="Q10" s="26"/>
      <c r="R10" s="26"/>
      <c r="S10" s="26"/>
      <c r="T10" s="26"/>
    </row>
    <row r="11" customFormat="false" ht="15" hidden="false" customHeight="false" outlineLevel="0" collapsed="false">
      <c r="A11" s="18" t="s">
        <v>103</v>
      </c>
      <c r="B11" s="26" t="s">
        <v>104</v>
      </c>
      <c r="C11" s="26"/>
      <c r="D11" s="26"/>
      <c r="E11" s="26"/>
      <c r="F11" s="26"/>
      <c r="G11" s="26"/>
      <c r="H11" s="26"/>
      <c r="I11" s="26"/>
      <c r="L11" s="29" t="s">
        <v>105</v>
      </c>
      <c r="M11" s="26" t="s">
        <v>106</v>
      </c>
      <c r="N11" s="26"/>
      <c r="O11" s="26"/>
      <c r="P11" s="26"/>
      <c r="Q11" s="26"/>
      <c r="R11" s="26"/>
      <c r="S11" s="26"/>
      <c r="T11" s="26"/>
    </row>
    <row r="12" customFormat="false" ht="15" hidden="false" customHeight="false" outlineLevel="0" collapsed="false">
      <c r="A12" s="18" t="s">
        <v>107</v>
      </c>
      <c r="B12" s="26" t="s">
        <v>108</v>
      </c>
      <c r="C12" s="26"/>
      <c r="D12" s="26"/>
      <c r="E12" s="26"/>
      <c r="F12" s="26"/>
      <c r="G12" s="26"/>
      <c r="H12" s="26"/>
      <c r="I12" s="26"/>
      <c r="L12" s="18" t="s">
        <v>109</v>
      </c>
      <c r="M12" s="26" t="s">
        <v>110</v>
      </c>
      <c r="N12" s="26"/>
      <c r="O12" s="26"/>
      <c r="P12" s="26"/>
      <c r="Q12" s="26"/>
      <c r="R12" s="26"/>
      <c r="S12" s="26"/>
      <c r="T12" s="26"/>
    </row>
    <row r="14" customFormat="false" ht="35.25" hidden="false" customHeight="true" outlineLevel="0" collapsed="false">
      <c r="A14" s="30" t="s">
        <v>111</v>
      </c>
      <c r="B14" s="30"/>
      <c r="C14" s="30"/>
      <c r="D14" s="30"/>
      <c r="E14" s="30"/>
      <c r="F14" s="30"/>
      <c r="G14" s="30"/>
      <c r="H14" s="30"/>
      <c r="I14" s="30"/>
      <c r="L14" s="30" t="s">
        <v>112</v>
      </c>
      <c r="M14" s="30"/>
      <c r="N14" s="30"/>
      <c r="O14" s="30"/>
      <c r="P14" s="30"/>
      <c r="Q14" s="30"/>
      <c r="R14" s="30"/>
      <c r="S14" s="30"/>
      <c r="T14" s="30"/>
    </row>
    <row r="15" customFormat="false" ht="15" hidden="false" customHeight="false" outlineLevel="0" collapsed="false">
      <c r="A15" s="24" t="s">
        <v>113</v>
      </c>
      <c r="B15" s="24"/>
      <c r="C15" s="24"/>
      <c r="D15" s="24"/>
      <c r="E15" s="24"/>
      <c r="F15" s="24"/>
      <c r="G15" s="24"/>
      <c r="H15" s="24"/>
      <c r="I15" s="24"/>
      <c r="L15" s="24" t="s">
        <v>114</v>
      </c>
      <c r="M15" s="24"/>
      <c r="N15" s="24"/>
      <c r="O15" s="24"/>
      <c r="P15" s="24"/>
      <c r="Q15" s="24"/>
      <c r="R15" s="24"/>
      <c r="S15" s="24"/>
      <c r="T15" s="24"/>
    </row>
    <row r="16" customFormat="false" ht="15" hidden="false" customHeight="false" outlineLevel="0" collapsed="false">
      <c r="A16" s="29" t="s">
        <v>105</v>
      </c>
      <c r="B16" s="26" t="s">
        <v>115</v>
      </c>
      <c r="C16" s="26"/>
      <c r="D16" s="26"/>
      <c r="E16" s="26"/>
      <c r="F16" s="26"/>
      <c r="G16" s="26"/>
      <c r="H16" s="26"/>
      <c r="I16" s="26"/>
      <c r="L16" s="29" t="s">
        <v>116</v>
      </c>
      <c r="M16" s="26" t="s">
        <v>117</v>
      </c>
      <c r="N16" s="26"/>
      <c r="O16" s="26"/>
      <c r="P16" s="26"/>
      <c r="Q16" s="26"/>
      <c r="R16" s="26"/>
      <c r="S16" s="26"/>
      <c r="T16" s="26"/>
    </row>
    <row r="17" customFormat="false" ht="15" hidden="false" customHeight="false" outlineLevel="0" collapsed="false">
      <c r="A17" s="18" t="s">
        <v>118</v>
      </c>
      <c r="B17" s="26" t="s">
        <v>119</v>
      </c>
      <c r="C17" s="26"/>
      <c r="D17" s="26"/>
      <c r="E17" s="26"/>
      <c r="F17" s="26"/>
      <c r="G17" s="26"/>
      <c r="H17" s="26"/>
      <c r="I17" s="26"/>
      <c r="L17" s="18" t="s">
        <v>120</v>
      </c>
      <c r="M17" s="26" t="s">
        <v>121</v>
      </c>
      <c r="N17" s="26"/>
      <c r="O17" s="26"/>
      <c r="P17" s="26"/>
      <c r="Q17" s="26"/>
      <c r="R17" s="26"/>
      <c r="S17" s="26"/>
      <c r="T17" s="26"/>
    </row>
    <row r="18" customFormat="false" ht="15" hidden="false" customHeight="false" outlineLevel="0" collapsed="false">
      <c r="A18" s="18" t="s">
        <v>122</v>
      </c>
      <c r="B18" s="26" t="s">
        <v>123</v>
      </c>
      <c r="C18" s="26"/>
      <c r="D18" s="26"/>
      <c r="E18" s="26"/>
      <c r="F18" s="26"/>
      <c r="G18" s="26"/>
      <c r="H18" s="26"/>
      <c r="I18" s="26"/>
      <c r="L18" s="18" t="s">
        <v>124</v>
      </c>
      <c r="M18" s="26" t="s">
        <v>125</v>
      </c>
      <c r="N18" s="26"/>
      <c r="O18" s="26"/>
      <c r="P18" s="26"/>
      <c r="Q18" s="26"/>
      <c r="R18" s="26"/>
      <c r="S18" s="26"/>
      <c r="T18" s="26"/>
    </row>
    <row r="19" customFormat="false" ht="15" hidden="false" customHeight="false" outlineLevel="0" collapsed="false">
      <c r="A19" s="18" t="s">
        <v>126</v>
      </c>
      <c r="B19" s="26"/>
      <c r="C19" s="26"/>
      <c r="D19" s="26"/>
      <c r="E19" s="26"/>
      <c r="F19" s="26"/>
      <c r="G19" s="26"/>
      <c r="H19" s="26"/>
      <c r="I19" s="26"/>
      <c r="L19" s="18" t="s">
        <v>127</v>
      </c>
      <c r="M19" s="26" t="s">
        <v>128</v>
      </c>
      <c r="N19" s="26"/>
      <c r="O19" s="26"/>
      <c r="P19" s="26"/>
      <c r="Q19" s="26"/>
      <c r="R19" s="26"/>
      <c r="S19" s="26"/>
      <c r="T19" s="26"/>
    </row>
    <row r="20" customFormat="false" ht="15" hidden="false" customHeight="false" outlineLevel="0" collapsed="false">
      <c r="A20" s="18" t="s">
        <v>129</v>
      </c>
      <c r="B20" s="26"/>
      <c r="C20" s="26"/>
      <c r="D20" s="26"/>
      <c r="E20" s="26"/>
      <c r="F20" s="26"/>
      <c r="G20" s="26"/>
      <c r="H20" s="26"/>
      <c r="I20" s="26"/>
      <c r="L20" s="18" t="s">
        <v>130</v>
      </c>
      <c r="M20" s="26"/>
      <c r="N20" s="26"/>
      <c r="O20" s="26"/>
      <c r="P20" s="26"/>
      <c r="Q20" s="26"/>
      <c r="R20" s="26"/>
      <c r="S20" s="26"/>
      <c r="T20" s="26"/>
    </row>
    <row r="21" customFormat="false" ht="47" hidden="false" customHeight="true" outlineLevel="0" collapsed="false">
      <c r="A21" s="29" t="s">
        <v>131</v>
      </c>
      <c r="B21" s="26" t="s">
        <v>132</v>
      </c>
      <c r="C21" s="26"/>
      <c r="D21" s="26"/>
      <c r="E21" s="26"/>
      <c r="F21" s="26"/>
      <c r="G21" s="26"/>
      <c r="H21" s="26"/>
      <c r="I21" s="26"/>
      <c r="L21" s="29" t="s">
        <v>131</v>
      </c>
      <c r="M21" s="27" t="s">
        <v>133</v>
      </c>
      <c r="N21" s="27"/>
      <c r="O21" s="27"/>
      <c r="P21" s="27"/>
      <c r="Q21" s="27"/>
      <c r="R21" s="27"/>
      <c r="S21" s="27"/>
      <c r="T21" s="27"/>
    </row>
    <row r="22" customFormat="false" ht="31.3" hidden="false" customHeight="true" outlineLevel="0" collapsed="false">
      <c r="A22" s="18" t="s">
        <v>134</v>
      </c>
      <c r="B22" s="26" t="s">
        <v>135</v>
      </c>
      <c r="C22" s="26"/>
      <c r="D22" s="26"/>
      <c r="E22" s="26"/>
      <c r="F22" s="26"/>
      <c r="G22" s="26"/>
      <c r="H22" s="26"/>
      <c r="I22" s="26"/>
      <c r="L22" s="18" t="s">
        <v>136</v>
      </c>
      <c r="M22" s="27" t="s">
        <v>137</v>
      </c>
      <c r="N22" s="27"/>
      <c r="O22" s="27"/>
      <c r="P22" s="27"/>
      <c r="Q22" s="27"/>
      <c r="R22" s="27"/>
      <c r="S22" s="27"/>
      <c r="T22" s="27"/>
    </row>
  </sheetData>
  <mergeCells count="38">
    <mergeCell ref="A3:I3"/>
    <mergeCell ref="L3:T3"/>
    <mergeCell ref="A4:I4"/>
    <mergeCell ref="L4:T4"/>
    <mergeCell ref="B5:I5"/>
    <mergeCell ref="M5:T5"/>
    <mergeCell ref="B6:I6"/>
    <mergeCell ref="M6:T6"/>
    <mergeCell ref="B7:I7"/>
    <mergeCell ref="M7:T7"/>
    <mergeCell ref="B8:I8"/>
    <mergeCell ref="M8:T8"/>
    <mergeCell ref="B9:I9"/>
    <mergeCell ref="M9:T9"/>
    <mergeCell ref="B10:I10"/>
    <mergeCell ref="M10:T10"/>
    <mergeCell ref="B11:I11"/>
    <mergeCell ref="M11:T11"/>
    <mergeCell ref="B12:I12"/>
    <mergeCell ref="M12:T12"/>
    <mergeCell ref="A14:I14"/>
    <mergeCell ref="L14:T14"/>
    <mergeCell ref="A15:I15"/>
    <mergeCell ref="L15:T15"/>
    <mergeCell ref="B16:I16"/>
    <mergeCell ref="M16:T16"/>
    <mergeCell ref="B17:I17"/>
    <mergeCell ref="M17:T17"/>
    <mergeCell ref="B18:I18"/>
    <mergeCell ref="M18:T18"/>
    <mergeCell ref="B19:I19"/>
    <mergeCell ref="M19:T19"/>
    <mergeCell ref="B20:I20"/>
    <mergeCell ref="M20:T20"/>
    <mergeCell ref="B21:I21"/>
    <mergeCell ref="M21:T21"/>
    <mergeCell ref="B22:I22"/>
    <mergeCell ref="M22:T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0.59765625" defaultRowHeight="15" customHeight="false" zeroHeight="false" outlineLevelRow="0" outlineLevelCol="0"/>
  <sheetData>
    <row r="3" customFormat="false" ht="15" hidden="false" customHeight="false" outlineLevel="0" collapsed="false">
      <c r="A3" s="1" t="s">
        <v>138</v>
      </c>
    </row>
    <row r="4" customFormat="false" ht="16.4" hidden="false" customHeight="false" outlineLevel="0" collapsed="false">
      <c r="A4" s="31" t="s">
        <v>139</v>
      </c>
    </row>
    <row r="5" customFormat="false" ht="15" hidden="false" customHeight="false" outlineLevel="0" collapsed="false">
      <c r="A5" s="1" t="s">
        <v>140</v>
      </c>
    </row>
    <row r="6" customFormat="false" ht="16.4" hidden="false" customHeight="false" outlineLevel="0" collapsed="false">
      <c r="A6" s="31" t="s">
        <v>141</v>
      </c>
    </row>
    <row r="9" customFormat="false" ht="15" hidden="false" customHeight="false" outlineLevel="0" collapsed="false">
      <c r="A9" s="1" t="s">
        <v>142</v>
      </c>
    </row>
    <row r="11" customFormat="false" ht="15" hidden="false" customHeight="false" outlineLevel="0" collapsed="false">
      <c r="A11" s="1" t="s">
        <v>143</v>
      </c>
    </row>
  </sheetData>
  <hyperlinks>
    <hyperlink ref="A4" r:id="rId1" display="https://www.alsace-eurometropole.cci.fr/produit/accompagnement-post-creation"/>
    <hyperlink ref="A6" r:id="rId2" display="https://www.adie.org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463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2026-02-14T07:11:29Z</dcterms:created>
  <dc:creator>thy m</dc:creator>
  <dc:description/>
  <dc:language>en-US</dc:language>
  <cp:lastModifiedBy/>
  <dcterms:modified xsi:type="dcterms:W3CDTF">2026-03-14T18:31:51Z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